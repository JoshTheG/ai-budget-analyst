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entity" sheetId="2" state="visible" r:id="rId2"/>
    <sheet xmlns:r="http://schemas.openxmlformats.org/officeDocument/2006/relationships" name="revenue_vs_target" sheetId="3" state="visible" r:id="rId3"/>
    <sheet xmlns:r="http://schemas.openxmlformats.org/officeDocument/2006/relationships" name="fund_summary" sheetId="4" state="visible" r:id="rId4"/>
    <sheet xmlns:r="http://schemas.openxmlformats.org/officeDocument/2006/relationships" name="trend_by_period" sheetId="5" state="visible" r:id="rId5"/>
    <sheet xmlns:r="http://schemas.openxmlformats.org/officeDocument/2006/relationships"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vs. Actual by Project (latest period)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'variance_by_entity'!B1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'variance_by_entity'!$A$2:$A$21</f>
            </numRef>
          </cat>
          <val>
            <numRef>
              <f>'variance_by_entity'!$B$2:$B$21</f>
            </numRef>
          </val>
        </ser>
        <ser>
          <idx val="1"/>
          <order val="1"/>
          <tx>
            <strRef>
              <f>'variance_by_entity'!C1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'variance_by_entity'!$A$2:$A$21</f>
            </numRef>
          </cat>
          <val>
            <numRef>
              <f>'variance_by_entity'!$C$2:$C$21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Budget Analysis Summary</t>
        </is>
      </c>
    </row>
    <row r="2">
      <c r="A2" s="2" t="inlineStr">
        <is>
          <t>Generated 2026-07-07 16:05 by AI Budget Analyst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budget (latest period)</t>
        </is>
      </c>
      <c r="B5" t="n">
        <v>130284063.32</v>
      </c>
    </row>
    <row r="6">
      <c r="A6" t="inlineStr">
        <is>
          <t>Total actual expenditures</t>
        </is>
      </c>
      <c r="B6" t="n">
        <v>71525619.47</v>
      </c>
    </row>
    <row r="7">
      <c r="A7" t="inlineStr">
        <is>
          <t>Net variance (budget - actual)</t>
        </is>
      </c>
      <c r="B7" t="n">
        <v>58758443.85</v>
      </c>
    </row>
    <row r="8">
      <c r="A8" t="inlineStr">
        <is>
          <t>% of budget spent</t>
        </is>
      </c>
      <c r="B8" t="n">
        <v>54.9</v>
      </c>
    </row>
    <row r="9">
      <c r="A9" t="inlineStr">
        <is>
          <t>Total encumbered</t>
        </is>
      </c>
      <c r="B9" t="n">
        <v>20945358.44</v>
      </c>
    </row>
    <row r="10">
      <c r="A10" t="inlineStr">
        <is>
          <t>Total available balance</t>
        </is>
      </c>
      <c r="B10" t="n">
        <v>37813085.41</v>
      </c>
    </row>
    <row r="11">
      <c r="A11" t="inlineStr">
        <is>
          <t>% committed (spent + encumbered)</t>
        </is>
      </c>
      <c r="B11" t="n">
        <v>70.98</v>
      </c>
    </row>
    <row r="12">
      <c r="A12" t="inlineStr">
        <is>
          <t>Revenue target</t>
        </is>
      </c>
      <c r="B12" t="n">
        <v>116797191.72</v>
      </c>
    </row>
    <row r="13">
      <c r="A13" t="inlineStr">
        <is>
          <t>Revenue collected</t>
        </is>
      </c>
      <c r="B13" t="n">
        <v>114994496.19</v>
      </c>
    </row>
    <row r="14">
      <c r="A14" t="inlineStr">
        <is>
          <t>Revenue attainment %</t>
        </is>
      </c>
      <c r="B14" t="n">
        <v>98.45999999999999</v>
      </c>
    </row>
    <row r="15">
      <c r="A15" t="inlineStr">
        <is>
          <t>Next-period projection</t>
        </is>
      </c>
      <c r="B15" t="n">
        <v>81198191.03</v>
      </c>
    </row>
    <row r="16">
      <c r="A16" t="inlineStr">
        <is>
          <t>Variance outliers flagged</t>
        </is>
      </c>
      <c r="B16" t="n">
        <v>1</v>
      </c>
    </row>
    <row r="17">
      <c r="A17" t="inlineStr">
        <is>
          <t>row_count</t>
        </is>
      </c>
      <c r="B17" t="n">
        <v>149</v>
      </c>
    </row>
    <row r="18">
      <c r="A18" t="inlineStr">
        <is>
          <t>entity_column</t>
        </is>
      </c>
      <c r="B18" t="inlineStr">
        <is>
          <t>Project</t>
        </is>
      </c>
    </row>
    <row r="19">
      <c r="A19" t="inlineStr">
        <is>
          <t>largest_overrun_entity</t>
        </is>
      </c>
      <c r="B19" t="inlineStr">
        <is>
          <t>Trail Segment #2</t>
        </is>
      </c>
    </row>
    <row r="20">
      <c r="A20" t="inlineStr">
        <is>
          <t>largest_overrun_pct</t>
        </is>
      </c>
      <c r="B20" t="n">
        <v>-22.43</v>
      </c>
    </row>
    <row r="21">
      <c r="A21" t="inlineStr">
        <is>
          <t>largest_underspend_entity</t>
        </is>
      </c>
      <c r="B21" t="inlineStr">
        <is>
          <t>Pool Rehab #1</t>
        </is>
      </c>
    </row>
    <row r="22">
      <c r="A22" t="inlineStr">
        <is>
          <t>largest_underspend_pct</t>
        </is>
      </c>
      <c r="B22" t="n">
        <v>-77.38</v>
      </c>
    </row>
    <row r="23">
      <c r="A23" t="inlineStr">
        <is>
          <t>latest_period</t>
        </is>
      </c>
      <c r="B23" t="inlineStr">
        <is>
          <t>FY 2025-26</t>
        </is>
      </c>
    </row>
    <row r="24">
      <c r="A24" t="inlineStr">
        <is>
          <t>n_periods</t>
        </is>
      </c>
      <c r="B24" t="n">
        <v>4</v>
      </c>
    </row>
    <row r="25">
      <c r="A25" t="inlineStr">
        <is>
          <t>weakest_revenue_entity</t>
        </is>
      </c>
      <c r="B25" t="inlineStr">
        <is>
          <t>Sports Field Lighting #4</t>
        </is>
      </c>
    </row>
    <row r="26">
      <c r="A26" t="inlineStr">
        <is>
          <t>weakest_revenue_attainment_pct</t>
        </is>
      </c>
      <c r="B26" t="n">
        <v>81.77</v>
      </c>
    </row>
    <row r="27">
      <c r="A27" t="inlineStr">
        <is>
          <t>n_funds</t>
        </is>
      </c>
      <c r="B27" t="n">
        <v>12</v>
      </c>
    </row>
    <row r="28">
      <c r="A28" t="inlineStr">
        <is>
          <t>tightest_fund</t>
        </is>
      </c>
      <c r="B28" t="inlineStr">
        <is>
          <t>C&amp;C Tax Fund - Council District 2</t>
        </is>
      </c>
    </row>
    <row r="29">
      <c r="A29" t="inlineStr">
        <is>
          <t>tightest_fund_available</t>
        </is>
      </c>
      <c r="B29" t="n">
        <v>1174989.75</v>
      </c>
    </row>
    <row r="30">
      <c r="A30" t="inlineStr">
        <is>
          <t>funds_net_activity</t>
        </is>
      </c>
      <c r="B30" t="n">
        <v>43468876.72</v>
      </c>
    </row>
    <row r="31">
      <c r="A31" t="inlineStr">
        <is>
          <t>latest_total</t>
        </is>
      </c>
      <c r="B31" t="n">
        <v>71525619.47</v>
      </c>
    </row>
    <row r="32">
      <c r="A32" t="inlineStr">
        <is>
          <t>latest_change_pct</t>
        </is>
      </c>
      <c r="B32" t="n">
        <v>-1.87</v>
      </c>
    </row>
    <row r="33">
      <c r="A33" t="inlineStr">
        <is>
          <t>forecast_r_squared</t>
        </is>
      </c>
      <c r="B33" t="n">
        <v>0.4496</v>
      </c>
    </row>
    <row r="34">
      <c r="A34" t="inlineStr">
        <is>
          <t>forecast_method</t>
        </is>
      </c>
      <c r="B34" t="inlineStr">
        <is>
          <t>linear least-squares over 4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s="4" t="inlineStr">
        <is>
          <t>Project</t>
        </is>
      </c>
      <c r="B1" s="4" t="inlineStr">
        <is>
          <t>budget</t>
        </is>
      </c>
      <c r="C1" s="4" t="inlineStr">
        <is>
          <t>actual</t>
        </is>
      </c>
      <c r="D1" s="4" t="inlineStr">
        <is>
          <t>encumbrance</t>
        </is>
      </c>
      <c r="E1" s="4" t="inlineStr">
        <is>
          <t>variance</t>
        </is>
      </c>
      <c r="F1" s="4" t="inlineStr">
        <is>
          <t>variance_pct</t>
        </is>
      </c>
      <c r="G1" s="4" t="inlineStr">
        <is>
          <t>pct_spent</t>
        </is>
      </c>
      <c r="H1" s="4" t="inlineStr">
        <is>
          <t>available</t>
        </is>
      </c>
      <c r="I1" s="4" t="inlineStr">
        <is>
          <t>pct_committed</t>
        </is>
      </c>
    </row>
    <row r="2">
      <c r="A2" t="inlineStr">
        <is>
          <t>Trail Segment #2</t>
        </is>
      </c>
      <c r="B2" s="5" t="n">
        <v>5029571.17</v>
      </c>
      <c r="C2" s="5" t="n">
        <v>3901291.49</v>
      </c>
      <c r="D2" s="5" t="n">
        <v>793700.58</v>
      </c>
      <c r="E2" s="5" t="n">
        <v>1128279.68</v>
      </c>
      <c r="F2" s="6" t="n">
        <v>-22.43</v>
      </c>
      <c r="G2" s="6" t="n">
        <v>77.56999999999999</v>
      </c>
      <c r="H2" s="5" t="n">
        <v>334579.1</v>
      </c>
      <c r="I2" s="6" t="n">
        <v>93.34999999999999</v>
      </c>
    </row>
    <row r="3">
      <c r="A3" t="inlineStr">
        <is>
          <t>Community Center HVAC #2</t>
        </is>
      </c>
      <c r="B3" s="5" t="n">
        <v>5903379.59</v>
      </c>
      <c r="C3" s="5" t="n">
        <v>4436623.11</v>
      </c>
      <c r="D3" s="5" t="n">
        <v>628216.25</v>
      </c>
      <c r="E3" s="5" t="n">
        <v>1466756.48</v>
      </c>
      <c r="F3" s="6" t="n">
        <v>-24.85</v>
      </c>
      <c r="G3" s="6" t="n">
        <v>75.15000000000001</v>
      </c>
      <c r="H3" s="5" t="n">
        <v>838540.23</v>
      </c>
      <c r="I3" s="6" t="n">
        <v>85.8</v>
      </c>
    </row>
    <row r="4">
      <c r="A4" t="inlineStr">
        <is>
          <t>Restroom Replacement #2</t>
        </is>
      </c>
      <c r="B4" s="5" t="n">
        <v>7055021.79</v>
      </c>
      <c r="C4" s="5" t="n">
        <v>5218622.05</v>
      </c>
      <c r="D4" s="5" t="n">
        <v>1224919.79</v>
      </c>
      <c r="E4" s="5" t="n">
        <v>1836399.74</v>
      </c>
      <c r="F4" s="6" t="n">
        <v>-26.03</v>
      </c>
      <c r="G4" s="6" t="n">
        <v>73.97</v>
      </c>
      <c r="H4" s="5" t="n">
        <v>611479.95</v>
      </c>
      <c r="I4" s="6" t="n">
        <v>91.33</v>
      </c>
    </row>
    <row r="5">
      <c r="A5" t="inlineStr">
        <is>
          <t>Pool Rehab #2</t>
        </is>
      </c>
      <c r="B5" s="5" t="n">
        <v>8506255.51</v>
      </c>
      <c r="C5" s="5" t="n">
        <v>6154311.49</v>
      </c>
      <c r="D5" s="5" t="n">
        <v>874943.46</v>
      </c>
      <c r="E5" s="5" t="n">
        <v>2351944.02</v>
      </c>
      <c r="F5" s="6" t="n">
        <v>-27.65</v>
      </c>
      <c r="G5" s="6" t="n">
        <v>72.34999999999999</v>
      </c>
      <c r="H5" s="5" t="n">
        <v>1477000.56</v>
      </c>
      <c r="I5" s="6" t="n">
        <v>82.64</v>
      </c>
    </row>
    <row r="6">
      <c r="A6" t="inlineStr">
        <is>
          <t>Playground Renovation #3</t>
        </is>
      </c>
      <c r="B6" s="5" t="n">
        <v>4200736.43</v>
      </c>
      <c r="C6" s="5" t="n">
        <v>2954692.97</v>
      </c>
      <c r="D6" s="5" t="n">
        <v>628101.22</v>
      </c>
      <c r="E6" s="5" t="n">
        <v>1246043.46</v>
      </c>
      <c r="F6" s="6" t="n">
        <v>-29.66</v>
      </c>
      <c r="G6" s="6" t="n">
        <v>70.34</v>
      </c>
      <c r="H6" s="5" t="n">
        <v>617942.24</v>
      </c>
      <c r="I6" s="6" t="n">
        <v>85.29000000000001</v>
      </c>
    </row>
    <row r="7">
      <c r="A7" t="inlineStr">
        <is>
          <t>Trail Segment #1</t>
        </is>
      </c>
      <c r="B7" s="5" t="n">
        <v>6775556.4</v>
      </c>
      <c r="C7" s="5" t="n">
        <v>4748883.61</v>
      </c>
      <c r="D7" s="5" t="n">
        <v>615624.1800000001</v>
      </c>
      <c r="E7" s="5" t="n">
        <v>2026672.79</v>
      </c>
      <c r="F7" s="6" t="n">
        <v>-29.91</v>
      </c>
      <c r="G7" s="6" t="n">
        <v>70.09</v>
      </c>
      <c r="H7" s="5" t="n">
        <v>1411048.61</v>
      </c>
      <c r="I7" s="6" t="n">
        <v>79.17</v>
      </c>
    </row>
    <row r="8">
      <c r="A8" t="inlineStr">
        <is>
          <t>Playground Renovation #1</t>
        </is>
      </c>
      <c r="B8" s="5" t="n">
        <v>13401218.13</v>
      </c>
      <c r="C8" s="5" t="n">
        <v>8980898.07</v>
      </c>
      <c r="D8" s="5" t="n">
        <v>2200726</v>
      </c>
      <c r="E8" s="5" t="n">
        <v>4420320.06</v>
      </c>
      <c r="F8" s="6" t="n">
        <v>-32.98</v>
      </c>
      <c r="G8" s="6" t="n">
        <v>67.02</v>
      </c>
      <c r="H8" s="5" t="n">
        <v>2219594.06</v>
      </c>
      <c r="I8" s="6" t="n">
        <v>83.44</v>
      </c>
    </row>
    <row r="9">
      <c r="A9" t="inlineStr">
        <is>
          <t>Restroom Replacement #3</t>
        </is>
      </c>
      <c r="B9" s="5" t="n">
        <v>6218783.42</v>
      </c>
      <c r="C9" s="5" t="n">
        <v>3739844.3</v>
      </c>
      <c r="D9" s="5" t="n">
        <v>405076.14</v>
      </c>
      <c r="E9" s="5" t="n">
        <v>2478939.12</v>
      </c>
      <c r="F9" s="6" t="n">
        <v>-39.86</v>
      </c>
      <c r="G9" s="6" t="n">
        <v>60.14</v>
      </c>
      <c r="H9" s="5" t="n">
        <v>2073862.98</v>
      </c>
      <c r="I9" s="6" t="n">
        <v>66.65000000000001</v>
      </c>
    </row>
    <row r="10">
      <c r="A10" t="inlineStr">
        <is>
          <t>Restroom Replacement #4</t>
        </is>
      </c>
      <c r="B10" s="5" t="n">
        <v>2891421.45</v>
      </c>
      <c r="C10" s="5" t="n">
        <v>1726133.75</v>
      </c>
      <c r="D10" s="5" t="n">
        <v>413092.79</v>
      </c>
      <c r="E10" s="5" t="n">
        <v>1165287.7</v>
      </c>
      <c r="F10" s="6" t="n">
        <v>-40.3</v>
      </c>
      <c r="G10" s="6" t="n">
        <v>59.7</v>
      </c>
      <c r="H10" s="5" t="n">
        <v>752194.91</v>
      </c>
      <c r="I10" s="6" t="n">
        <v>73.98999999999999</v>
      </c>
    </row>
    <row r="11">
      <c r="A11" t="inlineStr">
        <is>
          <t>Trail Segment #3</t>
        </is>
      </c>
      <c r="B11" s="5" t="n">
        <v>8294960.85</v>
      </c>
      <c r="C11" s="5" t="n">
        <v>4942695.5</v>
      </c>
      <c r="D11" s="5" t="n">
        <v>658453.12</v>
      </c>
      <c r="E11" s="5" t="n">
        <v>3352265.35</v>
      </c>
      <c r="F11" s="6" t="n">
        <v>-40.41</v>
      </c>
      <c r="G11" s="6" t="n">
        <v>59.59</v>
      </c>
      <c r="H11" s="5" t="n">
        <v>2693812.23</v>
      </c>
      <c r="I11" s="6" t="n">
        <v>67.52</v>
      </c>
    </row>
    <row r="12">
      <c r="A12" t="inlineStr">
        <is>
          <t>Pool Rehab #4</t>
        </is>
      </c>
      <c r="B12" s="5" t="n">
        <v>10721253.7</v>
      </c>
      <c r="C12" s="5" t="n">
        <v>6020628.24</v>
      </c>
      <c r="D12" s="5" t="n">
        <v>2569707.92</v>
      </c>
      <c r="E12" s="5" t="n">
        <v>4700625.46</v>
      </c>
      <c r="F12" s="6" t="n">
        <v>-43.84</v>
      </c>
      <c r="G12" s="6" t="n">
        <v>56.16</v>
      </c>
      <c r="H12" s="5" t="n">
        <v>2130917.54</v>
      </c>
      <c r="I12" s="6" t="n">
        <v>80.12</v>
      </c>
    </row>
    <row r="13">
      <c r="A13" t="inlineStr">
        <is>
          <t>Sports Field Lighting #2</t>
        </is>
      </c>
      <c r="B13" s="5" t="n">
        <v>5961612.95</v>
      </c>
      <c r="C13" s="5" t="n">
        <v>3147945.59</v>
      </c>
      <c r="D13" s="5" t="n">
        <v>667649.42</v>
      </c>
      <c r="E13" s="5" t="n">
        <v>2813667.36</v>
      </c>
      <c r="F13" s="6" t="n">
        <v>-47.2</v>
      </c>
      <c r="G13" s="6" t="n">
        <v>52.8</v>
      </c>
      <c r="H13" s="5" t="n">
        <v>2146017.94</v>
      </c>
      <c r="I13" s="6" t="n">
        <v>64</v>
      </c>
    </row>
    <row r="14">
      <c r="A14" t="inlineStr">
        <is>
          <t>Restroom Replacement #1</t>
        </is>
      </c>
      <c r="B14" s="5" t="n">
        <v>3238481.27</v>
      </c>
      <c r="C14" s="5" t="n">
        <v>1608729.42</v>
      </c>
      <c r="D14" s="5" t="n">
        <v>683448.8100000001</v>
      </c>
      <c r="E14" s="5" t="n">
        <v>1629751.85</v>
      </c>
      <c r="F14" s="6" t="n">
        <v>-50.32</v>
      </c>
      <c r="G14" s="6" t="n">
        <v>49.68</v>
      </c>
      <c r="H14" s="5" t="n">
        <v>946303.04</v>
      </c>
      <c r="I14" s="6" t="n">
        <v>70.78</v>
      </c>
    </row>
    <row r="15">
      <c r="A15" t="inlineStr">
        <is>
          <t>Community Center HVAC #1</t>
        </is>
      </c>
      <c r="B15" s="5" t="n">
        <v>5595938.86</v>
      </c>
      <c r="C15" s="5" t="n">
        <v>2673918.5</v>
      </c>
      <c r="D15" s="5" t="n">
        <v>385139.6</v>
      </c>
      <c r="E15" s="5" t="n">
        <v>2922020.36</v>
      </c>
      <c r="F15" s="6" t="n">
        <v>-52.22</v>
      </c>
      <c r="G15" s="6" t="n">
        <v>47.78</v>
      </c>
      <c r="H15" s="5" t="n">
        <v>2536880.76</v>
      </c>
      <c r="I15" s="6" t="n">
        <v>54.67</v>
      </c>
    </row>
    <row r="16">
      <c r="A16" t="inlineStr">
        <is>
          <t>Sports Field Lighting #3</t>
        </is>
      </c>
      <c r="B16" s="5" t="n">
        <v>1743951.94</v>
      </c>
      <c r="C16" s="5" t="n">
        <v>663442.35</v>
      </c>
      <c r="D16" s="5" t="n">
        <v>310276.76</v>
      </c>
      <c r="E16" s="5" t="n">
        <v>1080509.59</v>
      </c>
      <c r="F16" s="6" t="n">
        <v>-61.96</v>
      </c>
      <c r="G16" s="6" t="n">
        <v>38.04</v>
      </c>
      <c r="H16" s="5" t="n">
        <v>770232.83</v>
      </c>
      <c r="I16" s="6" t="n">
        <v>55.83</v>
      </c>
    </row>
    <row r="17">
      <c r="A17" t="inlineStr">
        <is>
          <t>Playground Renovation #2</t>
        </is>
      </c>
      <c r="B17" s="5" t="n">
        <v>5921434.26</v>
      </c>
      <c r="C17" s="5" t="n">
        <v>2111034.95</v>
      </c>
      <c r="D17" s="5" t="n">
        <v>1330349.74</v>
      </c>
      <c r="E17" s="5" t="n">
        <v>3810399.31</v>
      </c>
      <c r="F17" s="6" t="n">
        <v>-64.34999999999999</v>
      </c>
      <c r="G17" s="6" t="n">
        <v>35.65</v>
      </c>
      <c r="H17" s="5" t="n">
        <v>2480049.57</v>
      </c>
      <c r="I17" s="6" t="n">
        <v>58.12</v>
      </c>
    </row>
    <row r="18">
      <c r="A18" t="inlineStr">
        <is>
          <t>Sports Field Lighting #1</t>
        </is>
      </c>
      <c r="B18" s="5" t="n">
        <v>10219482.54</v>
      </c>
      <c r="C18" s="5" t="n">
        <v>3509460.04</v>
      </c>
      <c r="D18" s="5" t="n">
        <v>2684361.87</v>
      </c>
      <c r="E18" s="5" t="n">
        <v>6710022.5</v>
      </c>
      <c r="F18" s="6" t="n">
        <v>-65.66</v>
      </c>
      <c r="G18" s="6" t="n">
        <v>34.34</v>
      </c>
      <c r="H18" s="5" t="n">
        <v>4025660.63</v>
      </c>
      <c r="I18" s="6" t="n">
        <v>60.61</v>
      </c>
    </row>
    <row r="19">
      <c r="A19" t="inlineStr">
        <is>
          <t>Community Center HVAC #3</t>
        </is>
      </c>
      <c r="B19" s="5" t="n">
        <v>7619648.48</v>
      </c>
      <c r="C19" s="5" t="n">
        <v>2426725.41</v>
      </c>
      <c r="D19" s="5" t="n">
        <v>1685575.71</v>
      </c>
      <c r="E19" s="5" t="n">
        <v>5192923.07</v>
      </c>
      <c r="F19" s="6" t="n">
        <v>-68.15000000000001</v>
      </c>
      <c r="G19" s="6" t="n">
        <v>31.85</v>
      </c>
      <c r="H19" s="5" t="n">
        <v>3507347.36</v>
      </c>
      <c r="I19" s="6" t="n">
        <v>53.97</v>
      </c>
    </row>
    <row r="20">
      <c r="A20" t="inlineStr">
        <is>
          <t>Sports Field Lighting #4</t>
        </is>
      </c>
      <c r="B20" s="5" t="n">
        <v>1042308.24</v>
      </c>
      <c r="C20" s="5" t="n">
        <v>311101.98</v>
      </c>
      <c r="D20" s="5" t="n">
        <v>218752.6</v>
      </c>
      <c r="E20" s="5" t="n">
        <v>731206.26</v>
      </c>
      <c r="F20" s="6" t="n">
        <v>-70.15000000000001</v>
      </c>
      <c r="G20" s="6" t="n">
        <v>29.85</v>
      </c>
      <c r="H20" s="5" t="n">
        <v>512453.66</v>
      </c>
      <c r="I20" s="6" t="n">
        <v>50.83</v>
      </c>
    </row>
    <row r="21">
      <c r="A21" t="inlineStr">
        <is>
          <t>Pool Rehab #1</t>
        </is>
      </c>
      <c r="B21" s="5" t="n">
        <v>9943046.34</v>
      </c>
      <c r="C21" s="5" t="n">
        <v>2248636.65</v>
      </c>
      <c r="D21" s="5" t="n">
        <v>1967242.48</v>
      </c>
      <c r="E21" s="5" t="n">
        <v>7694409.69</v>
      </c>
      <c r="F21" s="6" t="n">
        <v>-77.38</v>
      </c>
      <c r="G21" s="6" t="n">
        <v>22.62</v>
      </c>
      <c r="H21" s="5" t="n">
        <v>5727167.21</v>
      </c>
      <c r="I21" s="6" t="n">
        <v>42.4</v>
      </c>
    </row>
  </sheetData>
  <conditionalFormatting sqref="E2:E21">
    <cfRule type="cellIs" priority="1" operator="lessThan" dxfId="0">
      <formula>0</formula>
    </cfRule>
  </conditionalFormatting>
  <conditionalFormatting sqref="G2:G21">
    <cfRule type="cellIs" priority="2" operator="greaterThan" dxfId="0">
      <formula>100</formula>
    </cfRule>
    <cfRule type="cellIs" priority="3" operator="lessThanOrEqual" dxfId="1">
      <formula>100</formula>
    </cfRule>
  </conditionalFormatting>
  <conditionalFormatting sqref="H2:H21">
    <cfRule type="cellIs" priority="4" operator="lessThan" dxfId="0">
      <formula>0</formula>
    </cfRule>
  </conditionalFormatting>
  <conditionalFormatting sqref="I2:I21">
    <cfRule type="cellIs" priority="5" operator="greaterThan" dxfId="0">
      <formula>100</formula>
    </cfRule>
    <cfRule type="cellIs" priority="6" operator="lessThanOrEqual" dxfId="1">
      <formula>100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4" t="inlineStr">
        <is>
          <t>Project</t>
        </is>
      </c>
      <c r="B1" s="4" t="inlineStr">
        <is>
          <t>revenue_target</t>
        </is>
      </c>
      <c r="C1" s="4" t="inlineStr">
        <is>
          <t>revenue_actual</t>
        </is>
      </c>
      <c r="D1" s="4" t="inlineStr">
        <is>
          <t>revenue_variance</t>
        </is>
      </c>
      <c r="E1" s="4" t="inlineStr">
        <is>
          <t>attainment_pct</t>
        </is>
      </c>
    </row>
    <row r="2">
      <c r="A2" t="inlineStr">
        <is>
          <t>Sports Field Lighting #4</t>
        </is>
      </c>
      <c r="B2" s="5" t="n">
        <v>1131474.23</v>
      </c>
      <c r="C2" s="5" t="n">
        <v>925209.28</v>
      </c>
      <c r="D2" s="5" t="n">
        <v>-206264.95</v>
      </c>
      <c r="E2" s="6" t="n">
        <v>81.77</v>
      </c>
    </row>
    <row r="3">
      <c r="A3" t="inlineStr">
        <is>
          <t>Sports Field Lighting #1</t>
        </is>
      </c>
      <c r="B3" s="5" t="n">
        <v>8603526.07</v>
      </c>
      <c r="C3" s="5" t="n">
        <v>7180098.35</v>
      </c>
      <c r="D3" s="5" t="n">
        <v>-1423427.72</v>
      </c>
      <c r="E3" s="6" t="n">
        <v>83.45999999999999</v>
      </c>
    </row>
    <row r="4">
      <c r="A4" t="inlineStr">
        <is>
          <t>Community Center HVAC #1</t>
        </is>
      </c>
      <c r="B4" s="5" t="n">
        <v>5467656.14</v>
      </c>
      <c r="C4" s="5" t="n">
        <v>4805879.16</v>
      </c>
      <c r="D4" s="5" t="n">
        <v>-661776.98</v>
      </c>
      <c r="E4" s="6" t="n">
        <v>87.90000000000001</v>
      </c>
    </row>
    <row r="5">
      <c r="A5" t="inlineStr">
        <is>
          <t>Pool Rehab #2</t>
        </is>
      </c>
      <c r="B5" s="5" t="n">
        <v>8642837.01</v>
      </c>
      <c r="C5" s="5" t="n">
        <v>7874274.28</v>
      </c>
      <c r="D5" s="5" t="n">
        <v>-768562.73</v>
      </c>
      <c r="E5" s="6" t="n">
        <v>91.11</v>
      </c>
    </row>
    <row r="6">
      <c r="A6" t="inlineStr">
        <is>
          <t>Restroom Replacement #2</t>
        </is>
      </c>
      <c r="B6" s="5" t="n">
        <v>6392612.13</v>
      </c>
      <c r="C6" s="5" t="n">
        <v>5919308.51</v>
      </c>
      <c r="D6" s="5" t="n">
        <v>-473303.62</v>
      </c>
      <c r="E6" s="6" t="n">
        <v>92.59999999999999</v>
      </c>
    </row>
    <row r="7">
      <c r="A7" t="inlineStr">
        <is>
          <t>Trail Segment #3</t>
        </is>
      </c>
      <c r="B7" s="5" t="n">
        <v>6940137.04</v>
      </c>
      <c r="C7" s="5" t="n">
        <v>6632990.46</v>
      </c>
      <c r="D7" s="5" t="n">
        <v>-307146.58</v>
      </c>
      <c r="E7" s="6" t="n">
        <v>95.56999999999999</v>
      </c>
    </row>
    <row r="8">
      <c r="A8" t="inlineStr">
        <is>
          <t>Pool Rehab #1</t>
        </is>
      </c>
      <c r="B8" s="5" t="n">
        <v>10278945.29</v>
      </c>
      <c r="C8" s="5" t="n">
        <v>9903598.640000001</v>
      </c>
      <c r="D8" s="5" t="n">
        <v>-375346.65</v>
      </c>
      <c r="E8" s="6" t="n">
        <v>96.34999999999999</v>
      </c>
    </row>
    <row r="9">
      <c r="A9" t="inlineStr">
        <is>
          <t>Restroom Replacement #4</t>
        </is>
      </c>
      <c r="B9" s="5" t="n">
        <v>2710471.31</v>
      </c>
      <c r="C9" s="5" t="n">
        <v>2615650.64</v>
      </c>
      <c r="D9" s="5" t="n">
        <v>-94820.67</v>
      </c>
      <c r="E9" s="6" t="n">
        <v>96.5</v>
      </c>
    </row>
    <row r="10">
      <c r="A10" t="inlineStr">
        <is>
          <t>Sports Field Lighting #3</t>
        </is>
      </c>
      <c r="B10" s="5" t="n">
        <v>1462759.56</v>
      </c>
      <c r="C10" s="5" t="n">
        <v>1414017.5</v>
      </c>
      <c r="D10" s="5" t="n">
        <v>-48742.06</v>
      </c>
      <c r="E10" s="6" t="n">
        <v>96.67</v>
      </c>
    </row>
    <row r="11">
      <c r="A11" t="inlineStr">
        <is>
          <t>Playground Renovation #3</t>
        </is>
      </c>
      <c r="B11" s="5" t="n">
        <v>4101311.32</v>
      </c>
      <c r="C11" s="5" t="n">
        <v>4046384.55</v>
      </c>
      <c r="D11" s="5" t="n">
        <v>-54926.77</v>
      </c>
      <c r="E11" s="6" t="n">
        <v>98.66</v>
      </c>
    </row>
    <row r="12">
      <c r="A12" t="inlineStr">
        <is>
          <t>Trail Segment #1</t>
        </is>
      </c>
      <c r="B12" s="5" t="n">
        <v>6876572.62</v>
      </c>
      <c r="C12" s="5" t="n">
        <v>6835125.63</v>
      </c>
      <c r="D12" s="5" t="n">
        <v>-41446.99</v>
      </c>
      <c r="E12" s="6" t="n">
        <v>99.40000000000001</v>
      </c>
    </row>
    <row r="13">
      <c r="A13" t="inlineStr">
        <is>
          <t>Pool Rehab #4</t>
        </is>
      </c>
      <c r="B13" s="5" t="n">
        <v>10094472.16</v>
      </c>
      <c r="C13" s="5" t="n">
        <v>10120870.26</v>
      </c>
      <c r="D13" s="5" t="n">
        <v>26398.1</v>
      </c>
      <c r="E13" s="6" t="n">
        <v>100.26</v>
      </c>
    </row>
    <row r="14">
      <c r="A14" t="inlineStr">
        <is>
          <t>Restroom Replacement #1</t>
        </is>
      </c>
      <c r="B14" s="5" t="n">
        <v>3069878.71</v>
      </c>
      <c r="C14" s="5" t="n">
        <v>3090466.61</v>
      </c>
      <c r="D14" s="5" t="n">
        <v>20587.9</v>
      </c>
      <c r="E14" s="6" t="n">
        <v>100.67</v>
      </c>
    </row>
    <row r="15">
      <c r="A15" t="inlineStr">
        <is>
          <t>Trail Segment #2</t>
        </is>
      </c>
      <c r="B15" s="5" t="n">
        <v>3499409.39</v>
      </c>
      <c r="C15" s="5" t="n">
        <v>3551684.38</v>
      </c>
      <c r="D15" s="5" t="n">
        <v>52274.99</v>
      </c>
      <c r="E15" s="6" t="n">
        <v>101.49</v>
      </c>
    </row>
    <row r="16">
      <c r="A16" t="inlineStr">
        <is>
          <t>Playground Renovation #2</t>
        </is>
      </c>
      <c r="B16" s="5" t="n">
        <v>5048620.75</v>
      </c>
      <c r="C16" s="5" t="n">
        <v>5146413.12</v>
      </c>
      <c r="D16" s="5" t="n">
        <v>97792.37</v>
      </c>
      <c r="E16" s="6" t="n">
        <v>101.94</v>
      </c>
    </row>
    <row r="17">
      <c r="A17" t="inlineStr">
        <is>
          <t>Playground Renovation #1</t>
        </is>
      </c>
      <c r="B17" s="5" t="n">
        <v>10660891.96</v>
      </c>
      <c r="C17" s="5" t="n">
        <v>11120322.21</v>
      </c>
      <c r="D17" s="5" t="n">
        <v>459430.25</v>
      </c>
      <c r="E17" s="6" t="n">
        <v>104.31</v>
      </c>
    </row>
    <row r="18">
      <c r="A18" t="inlineStr">
        <is>
          <t>Community Center HVAC #2</t>
        </is>
      </c>
      <c r="B18" s="5" t="n">
        <v>4476713.25</v>
      </c>
      <c r="C18" s="5" t="n">
        <v>4707492.74</v>
      </c>
      <c r="D18" s="5" t="n">
        <v>230779.49</v>
      </c>
      <c r="E18" s="6" t="n">
        <v>105.16</v>
      </c>
    </row>
    <row r="19">
      <c r="A19" t="inlineStr">
        <is>
          <t>Community Center HVAC #3</t>
        </is>
      </c>
      <c r="B19" s="5" t="n">
        <v>6661568.56</v>
      </c>
      <c r="C19" s="5" t="n">
        <v>7184839.05</v>
      </c>
      <c r="D19" s="5" t="n">
        <v>523270.49</v>
      </c>
      <c r="E19" s="6" t="n">
        <v>107.86</v>
      </c>
    </row>
    <row r="20">
      <c r="A20" t="inlineStr">
        <is>
          <t>Sports Field Lighting #2</t>
        </is>
      </c>
      <c r="B20" s="5" t="n">
        <v>6088240.71</v>
      </c>
      <c r="C20" s="5" t="n">
        <v>6693478.84</v>
      </c>
      <c r="D20" s="5" t="n">
        <v>605238.13</v>
      </c>
      <c r="E20" s="6" t="n">
        <v>109.94</v>
      </c>
    </row>
    <row r="21">
      <c r="A21" t="inlineStr">
        <is>
          <t>Restroom Replacement #3</t>
        </is>
      </c>
      <c r="B21" s="5" t="n">
        <v>4589093.51</v>
      </c>
      <c r="C21" s="5" t="n">
        <v>5226391.98</v>
      </c>
      <c r="D21" s="5" t="n">
        <v>637298.47</v>
      </c>
      <c r="E21" s="6" t="n">
        <v>113.89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Fund</t>
        </is>
      </c>
      <c r="B1" s="4" t="inlineStr">
        <is>
          <t>appropriation</t>
        </is>
      </c>
      <c r="C1" s="4" t="inlineStr">
        <is>
          <t>expended</t>
        </is>
      </c>
      <c r="D1" s="4" t="inlineStr">
        <is>
          <t>encumbered</t>
        </is>
      </c>
      <c r="E1" s="4" t="inlineStr">
        <is>
          <t>revenue_actual</t>
        </is>
      </c>
      <c r="F1" s="4" t="inlineStr">
        <is>
          <t>revenue_estimate</t>
        </is>
      </c>
      <c r="G1" s="4" t="inlineStr">
        <is>
          <t>available</t>
        </is>
      </c>
      <c r="H1" s="4" t="inlineStr">
        <is>
          <t>pct_spent</t>
        </is>
      </c>
      <c r="I1" s="4" t="inlineStr">
        <is>
          <t>net_activity</t>
        </is>
      </c>
    </row>
    <row r="2">
      <c r="A2" t="inlineStr">
        <is>
          <t>C&amp;C Tax Fund - Council District 2</t>
        </is>
      </c>
      <c r="B2" s="5" t="n">
        <v>9360139.949999999</v>
      </c>
      <c r="C2" s="5" t="n">
        <v>7300350.45</v>
      </c>
      <c r="D2" s="5" t="n">
        <v>884799.75</v>
      </c>
      <c r="E2" s="5" t="n">
        <v>8068579.94</v>
      </c>
      <c r="F2" s="5" t="n">
        <v>7748026.37</v>
      </c>
      <c r="G2" s="5" t="n">
        <v>1174989.75</v>
      </c>
      <c r="H2" s="6" t="n">
        <v>77.98999999999999</v>
      </c>
      <c r="I2" s="5" t="n">
        <v>768229.49</v>
      </c>
    </row>
    <row r="3">
      <c r="A3" t="inlineStr">
        <is>
          <t>C&amp;C Tax Fund - Council District 3</t>
        </is>
      </c>
      <c r="B3" s="5" t="n">
        <v>6611420.95</v>
      </c>
      <c r="C3" s="5" t="n">
        <v>4826080.51</v>
      </c>
      <c r="D3" s="5" t="n">
        <v>516487.89</v>
      </c>
      <c r="E3" s="5" t="n">
        <v>6064845.6</v>
      </c>
      <c r="F3" s="5" t="n">
        <v>6593770.01</v>
      </c>
      <c r="G3" s="5" t="n">
        <v>1268852.55</v>
      </c>
      <c r="H3" s="6" t="n">
        <v>73</v>
      </c>
      <c r="I3" s="5" t="n">
        <v>1238765.09</v>
      </c>
    </row>
    <row r="4">
      <c r="A4" t="inlineStr">
        <is>
          <t>Parks &amp; Rec Bond Projects Fund</t>
        </is>
      </c>
      <c r="B4" s="5" t="n">
        <v>10840466.26</v>
      </c>
      <c r="C4" s="5" t="n">
        <v>8011628.84</v>
      </c>
      <c r="D4" s="5" t="n">
        <v>1038711.87</v>
      </c>
      <c r="E4" s="5" t="n">
        <v>10308109.98</v>
      </c>
      <c r="F4" s="5" t="n">
        <v>10052918.91</v>
      </c>
      <c r="G4" s="5" t="n">
        <v>1790125.55</v>
      </c>
      <c r="H4" s="6" t="n">
        <v>73.90000000000001</v>
      </c>
      <c r="I4" s="5" t="n">
        <v>2296481.14</v>
      </c>
    </row>
    <row r="5">
      <c r="A5" t="inlineStr">
        <is>
          <t>C&amp;C Tax Fund - Council District 6</t>
        </is>
      </c>
      <c r="B5" s="5" t="n">
        <v>15098960.11</v>
      </c>
      <c r="C5" s="5" t="n">
        <v>8986692.43</v>
      </c>
      <c r="D5" s="5" t="n">
        <v>3350268.88</v>
      </c>
      <c r="E5" s="5" t="n">
        <v>13109204.04</v>
      </c>
      <c r="F5" s="5" t="n">
        <v>14486602.45</v>
      </c>
      <c r="G5" s="5" t="n">
        <v>2761998.8</v>
      </c>
      <c r="H5" s="6" t="n">
        <v>59.52</v>
      </c>
      <c r="I5" s="5" t="n">
        <v>4122511.61</v>
      </c>
    </row>
    <row r="6">
      <c r="A6" t="inlineStr">
        <is>
          <t>C&amp;C Tax Fund - Council District 1</t>
        </is>
      </c>
      <c r="B6" s="5" t="n">
        <v>7715883.34</v>
      </c>
      <c r="C6" s="5" t="n">
        <v>2439613.13</v>
      </c>
      <c r="D6" s="5" t="n">
        <v>1985878.36</v>
      </c>
      <c r="E6" s="5" t="n">
        <v>5048349.28</v>
      </c>
      <c r="F6" s="5" t="n">
        <v>5807628.44</v>
      </c>
      <c r="G6" s="5" t="n">
        <v>3290391.85</v>
      </c>
      <c r="H6" s="6" t="n">
        <v>31.62</v>
      </c>
      <c r="I6" s="5" t="n">
        <v>2608736.15</v>
      </c>
    </row>
    <row r="7">
      <c r="A7" t="inlineStr">
        <is>
          <t>C&amp;C Tax Fund - Council District 10</t>
        </is>
      </c>
      <c r="B7" s="5" t="n">
        <v>16335218.52</v>
      </c>
      <c r="C7" s="5" t="n">
        <v>10093882.34</v>
      </c>
      <c r="D7" s="5" t="n">
        <v>2673581.57</v>
      </c>
      <c r="E7" s="5" t="n">
        <v>12832041.42</v>
      </c>
      <c r="F7" s="5" t="n">
        <v>12137515.7</v>
      </c>
      <c r="G7" s="5" t="n">
        <v>3567754.61</v>
      </c>
      <c r="H7" s="6" t="n">
        <v>61.79</v>
      </c>
      <c r="I7" s="5" t="n">
        <v>2738159.08</v>
      </c>
    </row>
    <row r="8">
      <c r="A8" t="inlineStr">
        <is>
          <t>C&amp;C Tax Fund - Council District 7</t>
        </is>
      </c>
      <c r="B8" s="5" t="n">
        <v>11663528.97</v>
      </c>
      <c r="C8" s="5" t="n">
        <v>5876825.98</v>
      </c>
      <c r="D8" s="5" t="n">
        <v>2164572.69</v>
      </c>
      <c r="E8" s="5" t="n">
        <v>9875999.539999999</v>
      </c>
      <c r="F8" s="5" t="n">
        <v>9318811.960000001</v>
      </c>
      <c r="G8" s="5" t="n">
        <v>3622130.3</v>
      </c>
      <c r="H8" s="6" t="n">
        <v>50.39</v>
      </c>
      <c r="I8" s="5" t="n">
        <v>3999173.56</v>
      </c>
    </row>
    <row r="9">
      <c r="A9" t="inlineStr">
        <is>
          <t>C&amp;C Tax Fund - Council District 9</t>
        </is>
      </c>
      <c r="B9" s="5" t="n">
        <v>11046128.85</v>
      </c>
      <c r="C9" s="5" t="n">
        <v>5482064.18</v>
      </c>
      <c r="D9" s="5" t="n">
        <v>1930680.93</v>
      </c>
      <c r="E9" s="5" t="n">
        <v>10709412.96</v>
      </c>
      <c r="F9" s="5" t="n">
        <v>10584049.16</v>
      </c>
      <c r="G9" s="5" t="n">
        <v>3633383.74</v>
      </c>
      <c r="H9" s="6" t="n">
        <v>49.63</v>
      </c>
      <c r="I9" s="5" t="n">
        <v>5227348.78</v>
      </c>
    </row>
    <row r="10">
      <c r="A10" t="inlineStr">
        <is>
          <t>C&amp;C Tax Fund - Council District 8</t>
        </is>
      </c>
      <c r="B10" s="5" t="n">
        <v>14117369.64</v>
      </c>
      <c r="C10" s="5" t="n">
        <v>8937238.289999999</v>
      </c>
      <c r="D10" s="5" t="n">
        <v>1456706.58</v>
      </c>
      <c r="E10" s="5" t="n">
        <v>12679738.2</v>
      </c>
      <c r="F10" s="5" t="n">
        <v>13785119.34</v>
      </c>
      <c r="G10" s="5" t="n">
        <v>3723424.77</v>
      </c>
      <c r="H10" s="6" t="n">
        <v>63.31</v>
      </c>
      <c r="I10" s="5" t="n">
        <v>3742499.91</v>
      </c>
    </row>
    <row r="11">
      <c r="A11" t="inlineStr">
        <is>
          <t>C&amp;C Tax Fund - Council District 4</t>
        </is>
      </c>
      <c r="B11" s="5" t="n">
        <v>9141635.76</v>
      </c>
      <c r="C11" s="5" t="n">
        <v>3657170.67</v>
      </c>
      <c r="D11" s="5" t="n">
        <v>1613683.45</v>
      </c>
      <c r="E11" s="5" t="n">
        <v>7122295.32</v>
      </c>
      <c r="F11" s="5" t="n">
        <v>7133265.59</v>
      </c>
      <c r="G11" s="5" t="n">
        <v>3870781.64</v>
      </c>
      <c r="H11" s="6" t="n">
        <v>40.01</v>
      </c>
      <c r="I11" s="5" t="n">
        <v>3465124.65</v>
      </c>
    </row>
    <row r="12">
      <c r="A12" t="inlineStr">
        <is>
          <t>C&amp;C Tax Fund - Council District 5</t>
        </is>
      </c>
      <c r="B12" s="5" t="n">
        <v>10789790.96</v>
      </c>
      <c r="C12" s="5" t="n">
        <v>4168981.98</v>
      </c>
      <c r="D12" s="5" t="n">
        <v>2123903.83</v>
      </c>
      <c r="E12" s="5" t="n">
        <v>11743119.44</v>
      </c>
      <c r="F12" s="5" t="n">
        <v>11835653.52</v>
      </c>
      <c r="G12" s="5" t="n">
        <v>4496905.15</v>
      </c>
      <c r="H12" s="6" t="n">
        <v>38.64</v>
      </c>
      <c r="I12" s="5" t="n">
        <v>7574137.46</v>
      </c>
    </row>
    <row r="13">
      <c r="A13" t="inlineStr">
        <is>
          <t>Park Trust Fund</t>
        </is>
      </c>
      <c r="B13" s="5" t="n">
        <v>7563520.01</v>
      </c>
      <c r="C13" s="5" t="n">
        <v>1745090.67</v>
      </c>
      <c r="D13" s="5" t="n">
        <v>1206082.64</v>
      </c>
      <c r="E13" s="5" t="n">
        <v>7432800.47</v>
      </c>
      <c r="F13" s="5" t="n">
        <v>7313830.27</v>
      </c>
      <c r="G13" s="5" t="n">
        <v>4612346.7</v>
      </c>
      <c r="H13" s="6" t="n">
        <v>23.07</v>
      </c>
      <c r="I13" s="5" t="n">
        <v>5687709.8</v>
      </c>
    </row>
  </sheetData>
  <conditionalFormatting sqref="G2:G13">
    <cfRule type="cellIs" priority="1" operator="lessThan" dxfId="0">
      <formula>0</formula>
    </cfRule>
  </conditionalFormatting>
  <conditionalFormatting sqref="H2:H13">
    <cfRule type="cellIs" priority="2" operator="greaterThan" dxfId="0">
      <formula>100</formula>
    </cfRule>
    <cfRule type="cellIs" priority="3" operator="lessThanOrEqual" dxfId="1">
      <formula>100</formula>
    </cfRule>
  </conditionalFormatting>
  <conditionalFormatting sqref="I2:I13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Fiscal Year</t>
        </is>
      </c>
      <c r="B1" s="4" t="inlineStr">
        <is>
          <t>total</t>
        </is>
      </c>
      <c r="C1" s="4" t="inlineStr">
        <is>
          <t>change</t>
        </is>
      </c>
      <c r="D1" s="4" t="inlineStr">
        <is>
          <t>change_pct</t>
        </is>
      </c>
    </row>
    <row r="2">
      <c r="A2" t="inlineStr">
        <is>
          <t>FY 2022-23</t>
        </is>
      </c>
      <c r="B2" s="5" t="n">
        <v>53547061.55</v>
      </c>
      <c r="C2" s="5" t="n">
        <v/>
      </c>
      <c r="D2" s="6" t="n">
        <v/>
      </c>
    </row>
    <row r="3">
      <c r="A3" t="inlineStr">
        <is>
          <t>FY 2023-24</t>
        </is>
      </c>
      <c r="B3" s="5" t="n">
        <v>75186118.02</v>
      </c>
      <c r="C3" s="5" t="n">
        <v>21639056.47</v>
      </c>
      <c r="D3" s="6" t="n">
        <v>40.41</v>
      </c>
    </row>
    <row r="4">
      <c r="A4" t="inlineStr">
        <is>
          <t>FY 2024-25</t>
        </is>
      </c>
      <c r="B4" s="5" t="n">
        <v>72892204.68000001</v>
      </c>
      <c r="C4" s="5" t="n">
        <v>-2293913.34</v>
      </c>
      <c r="D4" s="6" t="n">
        <v>-3.05</v>
      </c>
    </row>
    <row r="5">
      <c r="A5" t="inlineStr">
        <is>
          <t>FY 2025-26</t>
        </is>
      </c>
      <c r="B5" s="5" t="n">
        <v>71525619.47</v>
      </c>
      <c r="C5" s="5" t="n">
        <v>-1366585.21</v>
      </c>
      <c r="D5" s="6" t="n">
        <v>-1.87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4" t="inlineStr">
        <is>
          <t>Project</t>
        </is>
      </c>
      <c r="B1" s="4" t="inlineStr">
        <is>
          <t>budget</t>
        </is>
      </c>
      <c r="C1" s="4" t="inlineStr">
        <is>
          <t>actual</t>
        </is>
      </c>
      <c r="D1" s="4" t="inlineStr">
        <is>
          <t>encumbrance</t>
        </is>
      </c>
      <c r="E1" s="4" t="inlineStr">
        <is>
          <t>variance</t>
        </is>
      </c>
      <c r="F1" s="4" t="inlineStr">
        <is>
          <t>variance_pct</t>
        </is>
      </c>
      <c r="G1" s="4" t="inlineStr">
        <is>
          <t>pct_spent</t>
        </is>
      </c>
      <c r="H1" s="4" t="inlineStr">
        <is>
          <t>available</t>
        </is>
      </c>
      <c r="I1" s="4" t="inlineStr">
        <is>
          <t>pct_committed</t>
        </is>
      </c>
      <c r="J1" s="4" t="inlineStr">
        <is>
          <t>z_score</t>
        </is>
      </c>
    </row>
    <row r="2">
      <c r="A2" t="inlineStr">
        <is>
          <t>Pool Rehab #1</t>
        </is>
      </c>
      <c r="B2" s="5" t="n">
        <v>9943046.34</v>
      </c>
      <c r="C2" s="5" t="n">
        <v>2248636.65</v>
      </c>
      <c r="D2" s="5" t="n">
        <v>1967242.48</v>
      </c>
      <c r="E2" s="5" t="n">
        <v>7694409.69</v>
      </c>
      <c r="F2" s="6" t="n">
        <v>-77.38</v>
      </c>
      <c r="G2" s="6" t="n">
        <v>22.62</v>
      </c>
      <c r="H2" s="5" t="n">
        <v>5727167.21</v>
      </c>
      <c r="I2" s="6" t="n">
        <v>42.4</v>
      </c>
      <c r="J2" t="n">
        <v>-1.88</v>
      </c>
    </row>
  </sheetData>
  <conditionalFormatting sqref="E2">
    <cfRule type="cellIs" priority="1" operator="lessThan" dxfId="0">
      <formula>0</formula>
    </cfRule>
  </conditionalFormatting>
  <conditionalFormatting sqref="G2">
    <cfRule type="cellIs" priority="2" operator="greaterThan" dxfId="0">
      <formula>100</formula>
    </cfRule>
    <cfRule type="cellIs" priority="3" operator="lessThanOrEqual" dxfId="1">
      <formula>100</formula>
    </cfRule>
  </conditionalFormatting>
  <conditionalFormatting sqref="H2">
    <cfRule type="cellIs" priority="4" operator="lessThan" dxfId="0">
      <formula>0</formula>
    </cfRule>
  </conditionalFormatting>
  <conditionalFormatting sqref="I2">
    <cfRule type="cellIs" priority="5" operator="greaterThan" dxfId="0">
      <formula>100</formula>
    </cfRule>
    <cfRule type="cellIs" priority="6" operator="lessThanOrEqual" dxfId="1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2026-07-07T23:05:35Z</dcterms:created>
  <dcterms:modified xmlns:dcterms="http://purl.org/dc/terms/" xmlns:xsi="http://www.w3.org/2001/XMLSchema-instance" xsi:type="dcterms:W3CDTF">2026-07-07T23:05:35Z</dcterms:modified>
</cp:coreProperties>
</file>