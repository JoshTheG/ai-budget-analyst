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riance_by_entity" sheetId="2" state="visible" r:id="rId2"/>
    <sheet xmlns:r="http://schemas.openxmlformats.org/officeDocument/2006/relationships" name="variance_by_category" sheetId="3" state="visible" r:id="rId3"/>
    <sheet xmlns:r="http://schemas.openxmlformats.org/officeDocument/2006/relationships" name="revenue_vs_target" sheetId="4" state="visible" r:id="rId4"/>
    <sheet xmlns:r="http://schemas.openxmlformats.org/officeDocument/2006/relationships" name="trend_by_period" sheetId="5" state="visible" r:id="rId5"/>
    <sheet xmlns:r="http://schemas.openxmlformats.org/officeDocument/2006/relationships" name="anomal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vs. Actual by Division (latest period)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'variance_by_entity'!B1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'variance_by_entity'!$A$2:$A$7</f>
            </numRef>
          </cat>
          <val>
            <numRef>
              <f>'variance_by_entity'!$B$2:$B$7</f>
            </numRef>
          </val>
        </ser>
        <ser>
          <idx val="1"/>
          <order val="1"/>
          <tx>
            <strRef>
              <f>'variance_by_entity'!C1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'variance_by_entity'!$A$2:$A$7</f>
            </numRef>
          </cat>
          <val>
            <numRef>
              <f>'variance_by_entity'!$C$2:$C$7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</cols>
  <sheetData>
    <row r="1">
      <c r="A1" s="1" t="inlineStr">
        <is>
          <t>Budget Analysis Summary</t>
        </is>
      </c>
    </row>
    <row r="2">
      <c r="A2" s="2" t="inlineStr">
        <is>
          <t>Generated 2026-07-07 16:05 by AI Budget Analyst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t="inlineStr">
        <is>
          <t>Total budget (latest period)</t>
        </is>
      </c>
      <c r="B5" t="n">
        <v>132554965.22</v>
      </c>
    </row>
    <row r="6">
      <c r="A6" t="inlineStr">
        <is>
          <t>Total actual expenditures</t>
        </is>
      </c>
      <c r="B6" t="n">
        <v>131412289.63</v>
      </c>
    </row>
    <row r="7">
      <c r="A7" t="inlineStr">
        <is>
          <t>Net variance (budget - actual)</t>
        </is>
      </c>
      <c r="B7" t="n">
        <v>1142675.59</v>
      </c>
    </row>
    <row r="8">
      <c r="A8" t="inlineStr">
        <is>
          <t>% of budget spent</t>
        </is>
      </c>
      <c r="B8" t="n">
        <v>99.14</v>
      </c>
    </row>
    <row r="9">
      <c r="A9" t="inlineStr">
        <is>
          <t>Revenue target</t>
        </is>
      </c>
      <c r="B9" t="n">
        <v>33024667.05</v>
      </c>
    </row>
    <row r="10">
      <c r="A10" t="inlineStr">
        <is>
          <t>Revenue collected</t>
        </is>
      </c>
      <c r="B10" t="n">
        <v>31041327.77</v>
      </c>
    </row>
    <row r="11">
      <c r="A11" t="inlineStr">
        <is>
          <t>Revenue attainment %</t>
        </is>
      </c>
      <c r="B11" t="n">
        <v>93.98999999999999</v>
      </c>
    </row>
    <row r="12">
      <c r="A12" t="inlineStr">
        <is>
          <t>Next-period projection</t>
        </is>
      </c>
      <c r="B12" t="n">
        <v>138925667.83</v>
      </c>
    </row>
    <row r="13">
      <c r="A13" t="inlineStr">
        <is>
          <t>Variance outliers flagged</t>
        </is>
      </c>
      <c r="B13" t="n">
        <v>1</v>
      </c>
    </row>
    <row r="14">
      <c r="A14" t="inlineStr">
        <is>
          <t>row_count</t>
        </is>
      </c>
      <c r="B14" t="n">
        <v>48</v>
      </c>
    </row>
    <row r="15">
      <c r="A15" t="inlineStr">
        <is>
          <t>entity_column</t>
        </is>
      </c>
      <c r="B15" t="inlineStr">
        <is>
          <t>Division</t>
        </is>
      </c>
    </row>
    <row r="16">
      <c r="A16" t="inlineStr">
        <is>
          <t>largest_overrun_entity</t>
        </is>
      </c>
      <c r="B16" t="inlineStr">
        <is>
          <t>Happy Hollow Park &amp; Zoo</t>
        </is>
      </c>
    </row>
    <row r="17">
      <c r="A17" t="inlineStr">
        <is>
          <t>largest_overrun_pct</t>
        </is>
      </c>
      <c r="B17" t="n">
        <v>4.61</v>
      </c>
    </row>
    <row r="18">
      <c r="A18" t="inlineStr">
        <is>
          <t>largest_underspend_entity</t>
        </is>
      </c>
      <c r="B18" t="inlineStr">
        <is>
          <t>Community Facilities Development</t>
        </is>
      </c>
    </row>
    <row r="19">
      <c r="A19" t="inlineStr">
        <is>
          <t>largest_underspend_pct</t>
        </is>
      </c>
      <c r="B19" t="n">
        <v>-15.39</v>
      </c>
    </row>
    <row r="20">
      <c r="A20" t="inlineStr">
        <is>
          <t>latest_period</t>
        </is>
      </c>
      <c r="B20" t="inlineStr">
        <is>
          <t>FY 2025-26</t>
        </is>
      </c>
    </row>
    <row r="21">
      <c r="A21" t="inlineStr">
        <is>
          <t>n_periods</t>
        </is>
      </c>
      <c r="B21" t="n">
        <v>4</v>
      </c>
    </row>
    <row r="22">
      <c r="A22" t="inlineStr">
        <is>
          <t>weakest_revenue_entity</t>
        </is>
      </c>
      <c r="B22" t="inlineStr">
        <is>
          <t>Recreation &amp; Community Services</t>
        </is>
      </c>
    </row>
    <row r="23">
      <c r="A23" t="inlineStr">
        <is>
          <t>weakest_revenue_attainment_pct</t>
        </is>
      </c>
      <c r="B23" t="n">
        <v>91.81</v>
      </c>
    </row>
    <row r="24">
      <c r="A24" t="inlineStr">
        <is>
          <t>latest_total</t>
        </is>
      </c>
      <c r="B24" t="n">
        <v>131412289.63</v>
      </c>
    </row>
    <row r="25">
      <c r="A25" t="inlineStr">
        <is>
          <t>latest_change_pct</t>
        </is>
      </c>
      <c r="B25" t="n">
        <v>6.52</v>
      </c>
    </row>
    <row r="26">
      <c r="A26" t="inlineStr">
        <is>
          <t>forecast_r_squared</t>
        </is>
      </c>
      <c r="B26" t="n">
        <v>0.9994</v>
      </c>
    </row>
    <row r="27">
      <c r="A27" t="inlineStr">
        <is>
          <t>forecast_method</t>
        </is>
      </c>
      <c r="B27" t="inlineStr">
        <is>
          <t>linear least-squares over 4 periods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Division</t>
        </is>
      </c>
      <c r="B1" s="4" t="inlineStr">
        <is>
          <t>budget</t>
        </is>
      </c>
      <c r="C1" s="4" t="inlineStr">
        <is>
          <t>actual</t>
        </is>
      </c>
      <c r="D1" s="4" t="inlineStr">
        <is>
          <t>variance</t>
        </is>
      </c>
      <c r="E1" s="4" t="inlineStr">
        <is>
          <t>variance_pct</t>
        </is>
      </c>
      <c r="F1" s="4" t="inlineStr">
        <is>
          <t>pct_spent</t>
        </is>
      </c>
    </row>
    <row r="2">
      <c r="A2" t="inlineStr">
        <is>
          <t>Happy Hollow Park &amp; Zoo</t>
        </is>
      </c>
      <c r="B2" s="5" t="n">
        <v>18380578.36</v>
      </c>
      <c r="C2" s="5" t="n">
        <v>19227954.69</v>
      </c>
      <c r="D2" s="5" t="n">
        <v>-847376.33</v>
      </c>
      <c r="E2" s="6" t="n">
        <v>4.61</v>
      </c>
      <c r="F2" s="6" t="n">
        <v>104.61</v>
      </c>
    </row>
    <row r="3">
      <c r="A3" t="inlineStr">
        <is>
          <t>Parks Maintenance &amp; Operations</t>
        </is>
      </c>
      <c r="B3" s="5" t="n">
        <v>42925274.41</v>
      </c>
      <c r="C3" s="5" t="n">
        <v>43576433.93</v>
      </c>
      <c r="D3" s="5" t="n">
        <v>-651159.52</v>
      </c>
      <c r="E3" s="6" t="n">
        <v>1.52</v>
      </c>
      <c r="F3" s="6" t="n">
        <v>101.52</v>
      </c>
    </row>
    <row r="4">
      <c r="A4" t="inlineStr">
        <is>
          <t>Recreation &amp; Community Services</t>
        </is>
      </c>
      <c r="B4" s="5" t="n">
        <v>39215959.54</v>
      </c>
      <c r="C4" s="5" t="n">
        <v>39478985.29</v>
      </c>
      <c r="D4" s="5" t="n">
        <v>-263025.75</v>
      </c>
      <c r="E4" s="6" t="n">
        <v>0.67</v>
      </c>
      <c r="F4" s="6" t="n">
        <v>100.67</v>
      </c>
    </row>
    <row r="5">
      <c r="A5" t="inlineStr">
        <is>
          <t>Administrative Services</t>
        </is>
      </c>
      <c r="B5" s="5" t="n">
        <v>13802179.78</v>
      </c>
      <c r="C5" s="5" t="n">
        <v>13113623.4</v>
      </c>
      <c r="D5" s="5" t="n">
        <v>688556.38</v>
      </c>
      <c r="E5" s="6" t="n">
        <v>-4.99</v>
      </c>
      <c r="F5" s="6" t="n">
        <v>95.01000000000001</v>
      </c>
    </row>
    <row r="6">
      <c r="A6" t="inlineStr">
        <is>
          <t>Strategic Support</t>
        </is>
      </c>
      <c r="B6" s="5" t="n">
        <v>7908872.2</v>
      </c>
      <c r="C6" s="5" t="n">
        <v>7281874.76</v>
      </c>
      <c r="D6" s="5" t="n">
        <v>626997.4399999999</v>
      </c>
      <c r="E6" s="6" t="n">
        <v>-7.93</v>
      </c>
      <c r="F6" s="6" t="n">
        <v>92.06999999999999</v>
      </c>
    </row>
    <row r="7">
      <c r="A7" t="inlineStr">
        <is>
          <t>Community Facilities Development</t>
        </is>
      </c>
      <c r="B7" s="5" t="n">
        <v>10322100.93</v>
      </c>
      <c r="C7" s="5" t="n">
        <v>8733417.560000001</v>
      </c>
      <c r="D7" s="5" t="n">
        <v>1588683.37</v>
      </c>
      <c r="E7" s="6" t="n">
        <v>-15.39</v>
      </c>
      <c r="F7" s="6" t="n">
        <v>84.61</v>
      </c>
    </row>
  </sheetData>
  <conditionalFormatting sqref="D2:D7">
    <cfRule type="cellIs" priority="1" operator="lessThan" dxfId="0">
      <formula>0</formula>
    </cfRule>
  </conditionalFormatting>
  <conditionalFormatting sqref="F2:F7">
    <cfRule type="cellIs" priority="2" operator="greaterThan" dxfId="0">
      <formula>100</formula>
    </cfRule>
    <cfRule type="cellIs" priority="3" operator="lessThanOrEqual" dxfId="1">
      <formula>100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Expenditure Category</t>
        </is>
      </c>
      <c r="B1" s="4" t="inlineStr">
        <is>
          <t>budget</t>
        </is>
      </c>
      <c r="C1" s="4" t="inlineStr">
        <is>
          <t>actual</t>
        </is>
      </c>
      <c r="D1" s="4" t="inlineStr">
        <is>
          <t>variance</t>
        </is>
      </c>
      <c r="E1" s="4" t="inlineStr">
        <is>
          <t>variance_pct</t>
        </is>
      </c>
      <c r="F1" s="4" t="inlineStr">
        <is>
          <t>pct_spent</t>
        </is>
      </c>
    </row>
    <row r="2">
      <c r="A2" t="inlineStr">
        <is>
          <t>Personal Services</t>
        </is>
      </c>
      <c r="B2" s="5" t="n">
        <v>95248106.7</v>
      </c>
      <c r="C2" s="5" t="n">
        <v>96860868.19</v>
      </c>
      <c r="D2" s="5" t="n">
        <v>-1612761.49</v>
      </c>
      <c r="E2" s="6" t="n">
        <v>1.69</v>
      </c>
      <c r="F2" s="6" t="n">
        <v>101.69</v>
      </c>
    </row>
    <row r="3">
      <c r="A3" t="inlineStr">
        <is>
          <t>Non-Personal/Equipment</t>
        </is>
      </c>
      <c r="B3" s="5" t="n">
        <v>37306858.52</v>
      </c>
      <c r="C3" s="5" t="n">
        <v>34551421.44</v>
      </c>
      <c r="D3" s="5" t="n">
        <v>2755437.08</v>
      </c>
      <c r="E3" s="6" t="n">
        <v>-7.39</v>
      </c>
      <c r="F3" s="6" t="n">
        <v>92.61</v>
      </c>
    </row>
  </sheetData>
  <conditionalFormatting sqref="D2:D3">
    <cfRule type="cellIs" priority="1" operator="lessThan" dxfId="0">
      <formula>0</formula>
    </cfRule>
  </conditionalFormatting>
  <conditionalFormatting sqref="F2:F3">
    <cfRule type="cellIs" priority="2" operator="greaterThan" dxfId="0">
      <formula>100</formula>
    </cfRule>
    <cfRule type="cellIs" priority="3" operator="lessThanOrEqual" dxfId="1">
      <formula>100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16" customWidth="1" min="5" max="5"/>
  </cols>
  <sheetData>
    <row r="1">
      <c r="A1" s="4" t="inlineStr">
        <is>
          <t>Division</t>
        </is>
      </c>
      <c r="B1" s="4" t="inlineStr">
        <is>
          <t>revenue_target</t>
        </is>
      </c>
      <c r="C1" s="4" t="inlineStr">
        <is>
          <t>revenue_actual</t>
        </is>
      </c>
      <c r="D1" s="4" t="inlineStr">
        <is>
          <t>revenue_variance</t>
        </is>
      </c>
      <c r="E1" s="4" t="inlineStr">
        <is>
          <t>attainment_pct</t>
        </is>
      </c>
    </row>
    <row r="2">
      <c r="A2" t="inlineStr">
        <is>
          <t>Recreation &amp; Community Services</t>
        </is>
      </c>
      <c r="B2" s="5" t="n">
        <v>17647181.79</v>
      </c>
      <c r="C2" s="5" t="n">
        <v>16202442.6</v>
      </c>
      <c r="D2" s="5" t="n">
        <v>-1444739.19</v>
      </c>
      <c r="E2" s="6" t="n">
        <v>91.81</v>
      </c>
    </row>
    <row r="3">
      <c r="A3" t="inlineStr">
        <is>
          <t>Strategic Support</t>
        </is>
      </c>
      <c r="B3" s="5" t="n">
        <v>79088.72</v>
      </c>
      <c r="C3" s="5" t="n">
        <v>73248.69</v>
      </c>
      <c r="D3" s="5" t="n">
        <v>-5840.03</v>
      </c>
      <c r="E3" s="6" t="n">
        <v>92.62</v>
      </c>
    </row>
    <row r="4">
      <c r="A4" t="inlineStr">
        <is>
          <t>Happy Hollow Park &amp; Zoo</t>
        </is>
      </c>
      <c r="B4" s="5" t="n">
        <v>10109318.1</v>
      </c>
      <c r="C4" s="5" t="n">
        <v>9528307</v>
      </c>
      <c r="D4" s="5" t="n">
        <v>-581011.1</v>
      </c>
      <c r="E4" s="6" t="n">
        <v>94.25</v>
      </c>
    </row>
    <row r="5">
      <c r="A5" t="inlineStr">
        <is>
          <t>Community Facilities Development</t>
        </is>
      </c>
      <c r="B5" s="5" t="n">
        <v>206442.01</v>
      </c>
      <c r="C5" s="5" t="n">
        <v>199036.96</v>
      </c>
      <c r="D5" s="5" t="n">
        <v>-7405.05</v>
      </c>
      <c r="E5" s="6" t="n">
        <v>96.41</v>
      </c>
    </row>
    <row r="6">
      <c r="A6" t="inlineStr">
        <is>
          <t>Parks Maintenance &amp; Operations</t>
        </is>
      </c>
      <c r="B6" s="5" t="n">
        <v>4292527.44</v>
      </c>
      <c r="C6" s="5" t="n">
        <v>4339174.35</v>
      </c>
      <c r="D6" s="5" t="n">
        <v>46646.91</v>
      </c>
      <c r="E6" s="6" t="n">
        <v>101.09</v>
      </c>
    </row>
    <row r="7">
      <c r="A7" t="inlineStr">
        <is>
          <t>Administrative Services</t>
        </is>
      </c>
      <c r="B7" s="5" t="n">
        <v>690108.99</v>
      </c>
      <c r="C7" s="5" t="n">
        <v>699118.17</v>
      </c>
      <c r="D7" s="5" t="n">
        <v>9009.18</v>
      </c>
      <c r="E7" s="6" t="n">
        <v>101.31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Fiscal Year</t>
        </is>
      </c>
      <c r="B1" s="4" t="inlineStr">
        <is>
          <t>total</t>
        </is>
      </c>
      <c r="C1" s="4" t="inlineStr">
        <is>
          <t>change</t>
        </is>
      </c>
      <c r="D1" s="4" t="inlineStr">
        <is>
          <t>change_pct</t>
        </is>
      </c>
    </row>
    <row r="2">
      <c r="A2" t="inlineStr">
        <is>
          <t>FY 2022-23</t>
        </is>
      </c>
      <c r="B2" s="5" t="n">
        <v>108337261.33</v>
      </c>
      <c r="C2" s="5" t="n">
        <v/>
      </c>
      <c r="D2" s="6" t="n">
        <v/>
      </c>
    </row>
    <row r="3">
      <c r="A3" t="inlineStr">
        <is>
          <t>FY 2023-24</t>
        </is>
      </c>
      <c r="B3" s="5" t="n">
        <v>116287088.63</v>
      </c>
      <c r="C3" s="5" t="n">
        <v>7949827.3</v>
      </c>
      <c r="D3" s="6" t="n">
        <v>7.34</v>
      </c>
    </row>
    <row r="4">
      <c r="A4" t="inlineStr">
        <is>
          <t>FY 2024-25</t>
        </is>
      </c>
      <c r="B4" s="5" t="n">
        <v>123364017.74</v>
      </c>
      <c r="C4" s="5" t="n">
        <v>7076929.11</v>
      </c>
      <c r="D4" s="6" t="n">
        <v>6.09</v>
      </c>
    </row>
    <row r="5">
      <c r="A5" t="inlineStr">
        <is>
          <t>FY 2025-26</t>
        </is>
      </c>
      <c r="B5" s="5" t="n">
        <v>131412289.63</v>
      </c>
      <c r="C5" s="5" t="n">
        <v>8048271.89</v>
      </c>
      <c r="D5" s="6" t="n">
        <v>6.52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Division</t>
        </is>
      </c>
      <c r="B1" s="4" t="inlineStr">
        <is>
          <t>budget</t>
        </is>
      </c>
      <c r="C1" s="4" t="inlineStr">
        <is>
          <t>actual</t>
        </is>
      </c>
      <c r="D1" s="4" t="inlineStr">
        <is>
          <t>variance</t>
        </is>
      </c>
      <c r="E1" s="4" t="inlineStr">
        <is>
          <t>variance_pct</t>
        </is>
      </c>
      <c r="F1" s="4" t="inlineStr">
        <is>
          <t>pct_spent</t>
        </is>
      </c>
      <c r="G1" s="4" t="inlineStr">
        <is>
          <t>z_score</t>
        </is>
      </c>
    </row>
    <row r="2">
      <c r="A2" t="inlineStr">
        <is>
          <t>Community Facilities Development</t>
        </is>
      </c>
      <c r="B2" s="5" t="n">
        <v>10322100.93</v>
      </c>
      <c r="C2" s="5" t="n">
        <v>8733417.560000001</v>
      </c>
      <c r="D2" s="5" t="n">
        <v>1588683.37</v>
      </c>
      <c r="E2" s="6" t="n">
        <v>-15.39</v>
      </c>
      <c r="F2" s="6" t="n">
        <v>84.61</v>
      </c>
      <c r="G2" t="n">
        <v>-1.75</v>
      </c>
    </row>
  </sheetData>
  <conditionalFormatting sqref="D2">
    <cfRule type="cellIs" priority="1" operator="lessThan" dxfId="0">
      <formula>0</formula>
    </cfRule>
  </conditionalFormatting>
  <conditionalFormatting sqref="F2">
    <cfRule type="cellIs" priority="2" operator="greaterThan" dxfId="0">
      <formula>100</formula>
    </cfRule>
    <cfRule type="cellIs" priority="3" operator="lessThanOrEqual" dxfId="1">
      <formula>100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2026-07-07T23:05:34Z</dcterms:created>
  <dcterms:modified xmlns:dcterms="http://purl.org/dc/terms/" xmlns:xsi="http://www.w3.org/2001/XMLSchema-instance" xsi:type="dcterms:W3CDTF">2026-07-07T23:05:34Z</dcterms:modified>
</cp:coreProperties>
</file>